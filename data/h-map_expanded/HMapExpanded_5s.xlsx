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aver/Desktop/MasterThesis/active_inference_nav_robot/data/h_map_very_large_RandomStart/"/>
    </mc:Choice>
  </mc:AlternateContent>
  <xr:revisionPtr revIDLastSave="0" documentId="13_ncr:1_{2BCE9DFF-FD7A-B244-8977-F54F4D529E2F}" xr6:coauthVersionLast="47" xr6:coauthVersionMax="47" xr10:uidLastSave="{00000000-0000-0000-0000-000000000000}"/>
  <bookViews>
    <workbookView xWindow="3720" yWindow="900" windowWidth="10160" windowHeight="17180" xr2:uid="{02D1E5E3-249F-1645-8513-5F00FAB5C0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1" l="1"/>
  <c r="C19" i="1" s="1"/>
  <c r="D14" i="1"/>
  <c r="D19" i="1" s="1"/>
  <c r="B14" i="1"/>
  <c r="B19" i="1" s="1"/>
</calcChain>
</file>

<file path=xl/sharedStrings.xml><?xml version="1.0" encoding="utf-8"?>
<sst xmlns="http://schemas.openxmlformats.org/spreadsheetml/2006/main" count="23" uniqueCount="23">
  <si>
    <t>Standard AIC</t>
  </si>
  <si>
    <t>Deep AIC</t>
  </si>
  <si>
    <t>Mean steps</t>
  </si>
  <si>
    <t>Median steps</t>
  </si>
  <si>
    <t>Std steps</t>
  </si>
  <si>
    <t>Converged N</t>
  </si>
  <si>
    <t>Converged Mean steps</t>
  </si>
  <si>
    <t>Converged Median steps</t>
  </si>
  <si>
    <t>Converged Std steps</t>
  </si>
  <si>
    <t>True Success</t>
  </si>
  <si>
    <t>False Success</t>
  </si>
  <si>
    <t>Collision</t>
  </si>
  <si>
    <t>Timeout</t>
  </si>
  <si>
    <t>Other failure</t>
  </si>
  <si>
    <t>N runs</t>
  </si>
  <si>
    <t>Final rot error of all N runs </t>
  </si>
  <si>
    <t>Near 180 Flip (2.8-3.15 rad)</t>
  </si>
  <si>
    <t>Excellent (&lt; 0.1 rad)</t>
  </si>
  <si>
    <t>Good (0.1 - 0.3 rad)</t>
  </si>
  <si>
    <t>Else </t>
  </si>
  <si>
    <t>Constrained Random</t>
  </si>
  <si>
    <t>Many excellent final rotational error, so why no convergence?</t>
  </si>
  <si>
    <t>Rot error false success runs (median rad)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</si>
</sst>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D4399-73AD-0341-92D1-46FC7AAB907F}">
  <dimension ref="A1:D24"/>
  <sheetViews>
    <sheetView tabSelected="1" workbookViewId="0">
      <selection activeCell="C22" sqref="C22"/>
    </sheetView>
  </sheetViews>
  <sheetFormatPr baseColWidth="10" defaultRowHeight="16" x14ac:dyDescent="0.2"/>
  <cols>
    <col min="1" max="1" width="23.1640625" customWidth="1"/>
  </cols>
  <sheetData>
    <row r="1" spans="1:4" x14ac:dyDescent="0.2">
      <c r="A1" s="1"/>
      <c r="B1" s="1" t="s">
        <v>0</v>
      </c>
      <c r="C1" s="1" t="s">
        <v>1</v>
      </c>
      <c r="D1" t="s">
        <v>20</v>
      </c>
    </row>
    <row r="2" spans="1:4" x14ac:dyDescent="0.2">
      <c r="A2" s="1" t="s">
        <v>2</v>
      </c>
      <c r="B2" s="1">
        <v>20.89</v>
      </c>
      <c r="C2" s="1">
        <v>20.260000000000002</v>
      </c>
      <c r="D2">
        <v>28.57</v>
      </c>
    </row>
    <row r="3" spans="1:4" x14ac:dyDescent="0.2">
      <c r="A3" s="1" t="s">
        <v>3</v>
      </c>
      <c r="B3" s="1">
        <v>22</v>
      </c>
      <c r="C3" s="1">
        <v>20</v>
      </c>
      <c r="D3">
        <v>31</v>
      </c>
    </row>
    <row r="4" spans="1:4" x14ac:dyDescent="0.2">
      <c r="A4" s="1" t="s">
        <v>4</v>
      </c>
      <c r="B4" s="1">
        <v>9.07</v>
      </c>
      <c r="C4" s="1">
        <v>8.44</v>
      </c>
      <c r="D4">
        <v>5.59</v>
      </c>
    </row>
    <row r="5" spans="1:4" x14ac:dyDescent="0.2">
      <c r="A5" s="1" t="s">
        <v>5</v>
      </c>
      <c r="B5" s="1">
        <v>72</v>
      </c>
      <c r="C5" s="1">
        <v>104</v>
      </c>
      <c r="D5">
        <v>49</v>
      </c>
    </row>
    <row r="6" spans="1:4" x14ac:dyDescent="0.2">
      <c r="A6" s="1" t="s">
        <v>6</v>
      </c>
      <c r="B6" s="1">
        <v>18.21</v>
      </c>
      <c r="C6" s="1">
        <v>18.12</v>
      </c>
      <c r="D6">
        <v>21.06</v>
      </c>
    </row>
    <row r="7" spans="1:4" x14ac:dyDescent="0.2">
      <c r="A7" s="1" t="s">
        <v>7</v>
      </c>
      <c r="B7" s="1">
        <v>18</v>
      </c>
      <c r="C7" s="1">
        <v>18</v>
      </c>
      <c r="D7">
        <v>22</v>
      </c>
    </row>
    <row r="8" spans="1:4" x14ac:dyDescent="0.2">
      <c r="A8" s="1" t="s">
        <v>8</v>
      </c>
      <c r="B8" s="1">
        <v>6.31</v>
      </c>
      <c r="C8" s="1">
        <v>5.62</v>
      </c>
      <c r="D8">
        <v>7.31</v>
      </c>
    </row>
    <row r="9" spans="1:4" x14ac:dyDescent="0.2">
      <c r="A9" s="1" t="s">
        <v>9</v>
      </c>
      <c r="B9" s="1">
        <v>46</v>
      </c>
      <c r="C9" s="1">
        <v>66</v>
      </c>
      <c r="D9">
        <v>25</v>
      </c>
    </row>
    <row r="10" spans="1:4" x14ac:dyDescent="0.2">
      <c r="A10" s="1" t="s">
        <v>10</v>
      </c>
      <c r="B10" s="1">
        <v>26</v>
      </c>
      <c r="C10" s="1">
        <v>38</v>
      </c>
      <c r="D10">
        <v>24</v>
      </c>
    </row>
    <row r="11" spans="1:4" x14ac:dyDescent="0.2">
      <c r="A11" s="1" t="s">
        <v>11</v>
      </c>
      <c r="B11" s="1">
        <v>72</v>
      </c>
      <c r="C11" s="1">
        <v>45</v>
      </c>
      <c r="D11">
        <v>0</v>
      </c>
    </row>
    <row r="12" spans="1:4" x14ac:dyDescent="0.2">
      <c r="A12" s="1" t="s">
        <v>12</v>
      </c>
      <c r="B12" s="1">
        <v>56</v>
      </c>
      <c r="C12" s="1">
        <v>51</v>
      </c>
      <c r="D12">
        <v>151</v>
      </c>
    </row>
    <row r="13" spans="1:4" x14ac:dyDescent="0.2">
      <c r="A13" s="1" t="s">
        <v>13</v>
      </c>
      <c r="B13" s="1">
        <v>0</v>
      </c>
      <c r="C13" s="1">
        <v>0</v>
      </c>
      <c r="D13">
        <v>0</v>
      </c>
    </row>
    <row r="14" spans="1:4" x14ac:dyDescent="0.2">
      <c r="A14" s="1" t="s">
        <v>14</v>
      </c>
      <c r="B14" s="1">
        <f>SUM(B9:B13)</f>
        <v>200</v>
      </c>
      <c r="C14" s="1">
        <f t="shared" ref="C14:D14" si="0">SUM(C9:C13)</f>
        <v>200</v>
      </c>
      <c r="D14" s="1">
        <f t="shared" si="0"/>
        <v>200</v>
      </c>
    </row>
    <row r="15" spans="1:4" x14ac:dyDescent="0.2">
      <c r="A15" s="1" t="s">
        <v>15</v>
      </c>
      <c r="B15" s="1"/>
      <c r="C15" s="1"/>
    </row>
    <row r="16" spans="1:4" x14ac:dyDescent="0.2">
      <c r="A16" s="1" t="s">
        <v>16</v>
      </c>
      <c r="B16" s="1">
        <v>71</v>
      </c>
      <c r="C16" s="1">
        <v>69</v>
      </c>
      <c r="D16">
        <v>67</v>
      </c>
    </row>
    <row r="17" spans="1:4" x14ac:dyDescent="0.2">
      <c r="A17" s="1" t="s">
        <v>17</v>
      </c>
      <c r="B17" s="1">
        <v>115</v>
      </c>
      <c r="C17" s="1">
        <v>112</v>
      </c>
      <c r="D17">
        <v>123</v>
      </c>
    </row>
    <row r="18" spans="1:4" x14ac:dyDescent="0.2">
      <c r="A18" s="1" t="s">
        <v>18</v>
      </c>
      <c r="B18" s="1">
        <v>4</v>
      </c>
      <c r="C18" s="1">
        <v>6</v>
      </c>
      <c r="D18">
        <v>5</v>
      </c>
    </row>
    <row r="19" spans="1:4" x14ac:dyDescent="0.2">
      <c r="A19" s="1" t="s">
        <v>19</v>
      </c>
      <c r="B19" s="1">
        <f>B14-SUM(B16:B18)</f>
        <v>10</v>
      </c>
      <c r="C19" s="1">
        <f t="shared" ref="C19:D19" si="1">C14-SUM(C16:C18)</f>
        <v>13</v>
      </c>
      <c r="D19" s="1">
        <f t="shared" si="1"/>
        <v>5</v>
      </c>
    </row>
    <row r="21" spans="1:4" x14ac:dyDescent="0.2">
      <c r="A21" t="s">
        <v>22</v>
      </c>
      <c r="B21">
        <v>3.13</v>
      </c>
      <c r="C21">
        <v>3.14</v>
      </c>
      <c r="D21">
        <v>3.13</v>
      </c>
    </row>
    <row r="24" spans="1:4" x14ac:dyDescent="0.2">
      <c r="A2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xaver weidinger</dc:creator>
  <cp:lastModifiedBy>xaver weidinger</cp:lastModifiedBy>
  <dcterms:created xsi:type="dcterms:W3CDTF">2026-06-22T11:44:47Z</dcterms:created>
  <dcterms:modified xsi:type="dcterms:W3CDTF">2026-06-22T11:56:57Z</dcterms:modified>
</cp:coreProperties>
</file>